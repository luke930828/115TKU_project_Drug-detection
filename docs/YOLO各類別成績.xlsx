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50" sheetId="1" state="visible" r:id="rId1"/>
    <sheet name="AP50-95" sheetId="2" state="visible" r:id="rId2"/>
    <sheet name="整體指標" sheetId="3" state="visible" r:id="rId3"/>
    <sheet name="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2" fillId="3" borderId="1" pivotButton="0" quotePrefix="0" xfId="0"/>
    <xf numFmtId="164" fontId="2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2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4B084"/>
          <b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2" customHeight="1">
      <c r="A1" s="1" t="inlineStr">
        <is>
          <t>類別</t>
        </is>
      </c>
      <c r="B1" s="1" t="inlineStr">
        <is>
          <t>v3（舊機器，舊驗證集）</t>
        </is>
      </c>
      <c r="C1" s="1" t="inlineStr">
        <is>
          <t>n 640</t>
        </is>
      </c>
      <c r="D1" s="1" t="inlineStr">
        <is>
          <t>s 640</t>
        </is>
      </c>
      <c r="E1" s="1" t="inlineStr">
        <is>
          <t>n 960</t>
        </is>
      </c>
      <c r="F1" s="1" t="inlineStr">
        <is>
          <t>新三組 最低</t>
        </is>
      </c>
      <c r="G1" s="1" t="inlineStr">
        <is>
          <t>新三組 最高</t>
        </is>
      </c>
      <c r="H1" s="1" t="inlineStr">
        <is>
          <t>新三組 差距（最高-最低）</t>
        </is>
      </c>
      <c r="I1" s="1" t="inlineStr">
        <is>
          <t>新三組 平均</t>
        </is>
      </c>
      <c r="J1" s="1" t="inlineStr">
        <is>
          <t>n 640 相對 v3 的變化</t>
        </is>
      </c>
    </row>
    <row r="2">
      <c r="A2" s="2" t="inlineStr">
        <is>
          <t>botanical_joints</t>
        </is>
      </c>
      <c r="B2" s="3" t="n">
        <v>0.863</v>
      </c>
      <c r="C2" s="3" t="n">
        <v>0.796</v>
      </c>
      <c r="D2" s="3" t="n">
        <v>0.644</v>
      </c>
      <c r="E2" s="3" t="n">
        <v>0.8139999999999999</v>
      </c>
      <c r="F2" s="4">
        <f>MIN(C2:E2)</f>
        <v/>
      </c>
      <c r="G2" s="4">
        <f>MAX(C2:E2)</f>
        <v/>
      </c>
      <c r="H2" s="4">
        <f>G2-F2</f>
        <v/>
      </c>
      <c r="I2" s="4">
        <f>AVERAGE(C2:E2)</f>
        <v/>
      </c>
      <c r="J2" s="15">
        <f>C2-B2</f>
        <v/>
      </c>
    </row>
    <row r="3">
      <c r="A3" s="2" t="inlineStr">
        <is>
          <t>cannabis_like_herbal</t>
        </is>
      </c>
      <c r="B3" s="3" t="n">
        <v>0.478</v>
      </c>
      <c r="C3" s="3" t="n">
        <v>0.668</v>
      </c>
      <c r="D3" s="3" t="n">
        <v>0.38</v>
      </c>
      <c r="E3" s="3" t="n">
        <v>0.447</v>
      </c>
      <c r="F3" s="4">
        <f>MIN(C3:E3)</f>
        <v/>
      </c>
      <c r="G3" s="4">
        <f>MAX(C3:E3)</f>
        <v/>
      </c>
      <c r="H3" s="4">
        <f>G3-F3</f>
        <v/>
      </c>
      <c r="I3" s="4">
        <f>AVERAGE(C3:E3)</f>
        <v/>
      </c>
      <c r="J3" s="15">
        <f>C3-B3</f>
        <v/>
      </c>
    </row>
    <row r="4">
      <c r="A4" s="2" t="inlineStr">
        <is>
          <t>cannabis_logo</t>
        </is>
      </c>
      <c r="B4" s="3" t="n">
        <v>0.884</v>
      </c>
      <c r="C4" s="3" t="n">
        <v>0.929</v>
      </c>
      <c r="D4" s="3" t="n">
        <v>0.957</v>
      </c>
      <c r="E4" s="3" t="n">
        <v>0.975</v>
      </c>
      <c r="F4" s="4">
        <f>MIN(C4:E4)</f>
        <v/>
      </c>
      <c r="G4" s="4">
        <f>MAX(C4:E4)</f>
        <v/>
      </c>
      <c r="H4" s="4">
        <f>G4-F4</f>
        <v/>
      </c>
      <c r="I4" s="4">
        <f>AVERAGE(C4:E4)</f>
        <v/>
      </c>
      <c r="J4" s="15">
        <f>C4-B4</f>
        <v/>
      </c>
    </row>
    <row r="5">
      <c r="A5" s="2" t="inlineStr">
        <is>
          <t>digital_scale</t>
        </is>
      </c>
      <c r="B5" s="3" t="n">
        <v>0.827</v>
      </c>
      <c r="C5" s="3" t="n">
        <v>0.845</v>
      </c>
      <c r="D5" s="3" t="n">
        <v>0.928</v>
      </c>
      <c r="E5" s="3" t="n">
        <v>0.849</v>
      </c>
      <c r="F5" s="4">
        <f>MIN(C5:E5)</f>
        <v/>
      </c>
      <c r="G5" s="4">
        <f>MAX(C5:E5)</f>
        <v/>
      </c>
      <c r="H5" s="4">
        <f>G5-F5</f>
        <v/>
      </c>
      <c r="I5" s="4">
        <f>AVERAGE(C5:E5)</f>
        <v/>
      </c>
      <c r="J5" s="15">
        <f>C5-B5</f>
        <v/>
      </c>
    </row>
    <row r="6">
      <c r="A6" s="2" t="inlineStr">
        <is>
          <t>drug_edible</t>
        </is>
      </c>
      <c r="B6" s="3" t="n">
        <v>0.646</v>
      </c>
      <c r="C6" s="3" t="n">
        <v>0.366</v>
      </c>
      <c r="D6" s="3" t="n">
        <v>0.448</v>
      </c>
      <c r="E6" s="3" t="n">
        <v>0.718</v>
      </c>
      <c r="F6" s="4">
        <f>MIN(C6:E6)</f>
        <v/>
      </c>
      <c r="G6" s="4">
        <f>MAX(C6:E6)</f>
        <v/>
      </c>
      <c r="H6" s="4">
        <f>G6-F6</f>
        <v/>
      </c>
      <c r="I6" s="4">
        <f>AVERAGE(C6:E6)</f>
        <v/>
      </c>
      <c r="J6" s="15">
        <f>C6-B6</f>
        <v/>
      </c>
    </row>
    <row r="7">
      <c r="A7" s="2" t="inlineStr">
        <is>
          <t>illicit_packaging</t>
        </is>
      </c>
      <c r="B7" s="3" t="n">
        <v>0.785</v>
      </c>
      <c r="C7" s="3" t="n">
        <v>0.958</v>
      </c>
      <c r="D7" s="3" t="n">
        <v>0.987</v>
      </c>
      <c r="E7" s="3" t="n">
        <v>0.988</v>
      </c>
      <c r="F7" s="4">
        <f>MIN(C7:E7)</f>
        <v/>
      </c>
      <c r="G7" s="4">
        <f>MAX(C7:E7)</f>
        <v/>
      </c>
      <c r="H7" s="4">
        <f>G7-F7</f>
        <v/>
      </c>
      <c r="I7" s="4">
        <f>AVERAGE(C7:E7)</f>
        <v/>
      </c>
      <c r="J7" s="15">
        <f>C7-B7</f>
        <v/>
      </c>
    </row>
    <row r="8">
      <c r="A8" s="2" t="inlineStr">
        <is>
          <t>magic_mushroom</t>
        </is>
      </c>
      <c r="B8" s="3" t="n">
        <v>0.5659999999999999</v>
      </c>
      <c r="C8" s="3" t="n">
        <v>0.457</v>
      </c>
      <c r="D8" s="3" t="n">
        <v>0.481</v>
      </c>
      <c r="E8" s="3" t="n">
        <v>0.462</v>
      </c>
      <c r="F8" s="4">
        <f>MIN(C8:E8)</f>
        <v/>
      </c>
      <c r="G8" s="4">
        <f>MAX(C8:E8)</f>
        <v/>
      </c>
      <c r="H8" s="4">
        <f>G8-F8</f>
        <v/>
      </c>
      <c r="I8" s="4">
        <f>AVERAGE(C8:E8)</f>
        <v/>
      </c>
      <c r="J8" s="15">
        <f>C8-B8</f>
        <v/>
      </c>
    </row>
    <row r="9">
      <c r="A9" s="2" t="inlineStr">
        <is>
          <t>pills_capsules</t>
        </is>
      </c>
      <c r="B9" s="3" t="n">
        <v>0.963</v>
      </c>
      <c r="C9" s="3" t="n">
        <v>0.965</v>
      </c>
      <c r="D9" s="3" t="n">
        <v>0.966</v>
      </c>
      <c r="E9" s="3" t="n">
        <v>0.972</v>
      </c>
      <c r="F9" s="4">
        <f>MIN(C9:E9)</f>
        <v/>
      </c>
      <c r="G9" s="4">
        <f>MAX(C9:E9)</f>
        <v/>
      </c>
      <c r="H9" s="4">
        <f>G9-F9</f>
        <v/>
      </c>
      <c r="I9" s="4">
        <f>AVERAGE(C9:E9)</f>
        <v/>
      </c>
      <c r="J9" s="15">
        <f>C9-B9</f>
        <v/>
      </c>
    </row>
    <row r="10">
      <c r="A10" s="2" t="inlineStr">
        <is>
          <t>pills_tablets</t>
        </is>
      </c>
      <c r="B10" s="3" t="n">
        <v>0.42</v>
      </c>
      <c r="C10" s="3" t="n">
        <v>0.678</v>
      </c>
      <c r="D10" s="3" t="n">
        <v>0.395</v>
      </c>
      <c r="E10" s="3" t="n">
        <v>0.365</v>
      </c>
      <c r="F10" s="4">
        <f>MIN(C10:E10)</f>
        <v/>
      </c>
      <c r="G10" s="4">
        <f>MAX(C10:E10)</f>
        <v/>
      </c>
      <c r="H10" s="4">
        <f>G10-F10</f>
        <v/>
      </c>
      <c r="I10" s="4">
        <f>AVERAGE(C10:E10)</f>
        <v/>
      </c>
      <c r="J10" s="15">
        <f>C10-B10</f>
        <v/>
      </c>
    </row>
    <row r="11">
      <c r="A11" s="2" t="inlineStr">
        <is>
          <t>substance_crystal</t>
        </is>
      </c>
      <c r="B11" s="3" t="n">
        <v>0.17</v>
      </c>
      <c r="C11" s="3" t="n">
        <v>0.581</v>
      </c>
      <c r="D11" s="3" t="n">
        <v>0.479</v>
      </c>
      <c r="E11" s="3" t="n">
        <v>0.677</v>
      </c>
      <c r="F11" s="4">
        <f>MIN(C11:E11)</f>
        <v/>
      </c>
      <c r="G11" s="4">
        <f>MAX(C11:E11)</f>
        <v/>
      </c>
      <c r="H11" s="4">
        <f>G11-F11</f>
        <v/>
      </c>
      <c r="I11" s="4">
        <f>AVERAGE(C11:E11)</f>
        <v/>
      </c>
      <c r="J11" s="15">
        <f>C11-B11</f>
        <v/>
      </c>
    </row>
    <row r="12">
      <c r="A12" s="2" t="inlineStr">
        <is>
          <t>substance_powder</t>
        </is>
      </c>
      <c r="B12" s="3" t="n">
        <v>0.517</v>
      </c>
      <c r="C12" s="3" t="n">
        <v>0.584</v>
      </c>
      <c r="D12" s="3" t="n">
        <v>0.668</v>
      </c>
      <c r="E12" s="3" t="n">
        <v>0.63</v>
      </c>
      <c r="F12" s="4">
        <f>MIN(C12:E12)</f>
        <v/>
      </c>
      <c r="G12" s="4">
        <f>MAX(C12:E12)</f>
        <v/>
      </c>
      <c r="H12" s="4">
        <f>G12-F12</f>
        <v/>
      </c>
      <c r="I12" s="4">
        <f>AVERAGE(C12:E12)</f>
        <v/>
      </c>
      <c r="J12" s="15">
        <f>C12-B12</f>
        <v/>
      </c>
    </row>
    <row r="13">
      <c r="A13" s="2" t="inlineStr">
        <is>
          <t>syringe</t>
        </is>
      </c>
      <c r="B13" s="3" t="n">
        <v>0.364</v>
      </c>
      <c r="C13" s="3" t="n">
        <v>0.405</v>
      </c>
      <c r="D13" s="3" t="n">
        <v>0.616</v>
      </c>
      <c r="E13" s="3" t="n">
        <v>0.5580000000000001</v>
      </c>
      <c r="F13" s="4">
        <f>MIN(C13:E13)</f>
        <v/>
      </c>
      <c r="G13" s="4">
        <f>MAX(C13:E13)</f>
        <v/>
      </c>
      <c r="H13" s="4">
        <f>G13-F13</f>
        <v/>
      </c>
      <c r="I13" s="4">
        <f>AVERAGE(C13:E13)</f>
        <v/>
      </c>
      <c r="J13" s="15">
        <f>C13-B13</f>
        <v/>
      </c>
    </row>
    <row r="14">
      <c r="A14" s="2" t="inlineStr">
        <is>
          <t>vape_cartridge</t>
        </is>
      </c>
      <c r="B14" s="3" t="n">
        <v>0.42</v>
      </c>
      <c r="C14" s="3" t="n">
        <v>0.879</v>
      </c>
      <c r="D14" s="3" t="n">
        <v>0.717</v>
      </c>
      <c r="E14" s="3" t="n">
        <v>0.826</v>
      </c>
      <c r="F14" s="4">
        <f>MIN(C14:E14)</f>
        <v/>
      </c>
      <c r="G14" s="4">
        <f>MAX(C14:E14)</f>
        <v/>
      </c>
      <c r="H14" s="4">
        <f>G14-F14</f>
        <v/>
      </c>
      <c r="I14" s="4">
        <f>AVERAGE(C14:E14)</f>
        <v/>
      </c>
      <c r="J14" s="15">
        <f>C14-B14</f>
        <v/>
      </c>
    </row>
    <row r="15">
      <c r="A15" s="2" t="inlineStr">
        <is>
          <t>vape_device</t>
        </is>
      </c>
      <c r="B15" s="3" t="n">
        <v>0.5580000000000001</v>
      </c>
      <c r="C15" s="3" t="n">
        <v>0.804</v>
      </c>
      <c r="D15" s="3" t="n">
        <v>0.745</v>
      </c>
      <c r="E15" s="3" t="n">
        <v>0.645</v>
      </c>
      <c r="F15" s="4">
        <f>MIN(C15:E15)</f>
        <v/>
      </c>
      <c r="G15" s="4">
        <f>MAX(C15:E15)</f>
        <v/>
      </c>
      <c r="H15" s="4">
        <f>G15-F15</f>
        <v/>
      </c>
      <c r="I15" s="4">
        <f>AVERAGE(C15:E15)</f>
        <v/>
      </c>
      <c r="J15" s="15">
        <f>C15-B15</f>
        <v/>
      </c>
    </row>
    <row r="16">
      <c r="A16" s="2" t="inlineStr">
        <is>
          <t>ziplock_bag</t>
        </is>
      </c>
      <c r="B16" s="3" t="n">
        <v>0.55</v>
      </c>
      <c r="C16" s="3" t="n">
        <v>0.828</v>
      </c>
      <c r="D16" s="3" t="n">
        <v>0.859</v>
      </c>
      <c r="E16" s="3" t="n">
        <v>0.8080000000000001</v>
      </c>
      <c r="F16" s="4">
        <f>MIN(C16:E16)</f>
        <v/>
      </c>
      <c r="G16" s="4">
        <f>MAX(C16:E16)</f>
        <v/>
      </c>
      <c r="H16" s="4">
        <f>G16-F16</f>
        <v/>
      </c>
      <c r="I16" s="4">
        <f>AVERAGE(C16:E16)</f>
        <v/>
      </c>
      <c r="J16" s="15">
        <f>C16-B16</f>
        <v/>
      </c>
    </row>
    <row r="17">
      <c r="A17" s="6" t="inlineStr">
        <is>
          <t>各類別平均</t>
        </is>
      </c>
      <c r="B17" s="7">
        <f>AVERAGE(B2:B16)</f>
        <v/>
      </c>
      <c r="C17" s="7">
        <f>AVERAGE(C2:C16)</f>
        <v/>
      </c>
      <c r="D17" s="7">
        <f>AVERAGE(D2:D16)</f>
        <v/>
      </c>
      <c r="E17" s="7">
        <f>AVERAGE(E2:E16)</f>
        <v/>
      </c>
    </row>
    <row r="18">
      <c r="A18" s="6" t="inlineStr">
        <is>
          <t>整體 AP50（回報值）</t>
        </is>
      </c>
      <c r="B18" s="8">
        <f>'整體指標'!B11</f>
        <v/>
      </c>
      <c r="C18" s="8">
        <f>'整體指標'!C11</f>
        <v/>
      </c>
      <c r="D18" s="8">
        <f>'整體指標'!D11</f>
        <v/>
      </c>
      <c r="E18" s="8">
        <f>'整體指標'!E11</f>
        <v/>
      </c>
    </row>
    <row r="19">
      <c r="A19" s="6" t="inlineStr">
        <is>
          <t>平均與回報值的差（核對用）</t>
        </is>
      </c>
      <c r="B19" s="15">
        <f>B17-B18</f>
        <v/>
      </c>
      <c r="C19" s="15">
        <f>C17-C18</f>
        <v/>
      </c>
      <c r="D19" s="15">
        <f>D17-D18</f>
        <v/>
      </c>
      <c r="E19" s="15">
        <f>E17-E18</f>
        <v/>
      </c>
    </row>
    <row r="21" ht="42" customHeight="1">
      <c r="A21" s="9" t="inlineStr">
        <is>
          <t>數字來源：各模型 best.pt 在驗證集上重新驗證得到的 per-class AP50。藍字為輸入數據，黑字為公式，綠字為連到「整體指標」工作表。</t>
        </is>
      </c>
    </row>
    <row r="22" ht="42" customHeight="1">
      <c r="A22" s="9" t="inlineStr">
        <is>
          <t>v3 欄是舊機器（RTX 3050）訓練的模型，在舊驗證集（152 張 / 834 框）上的結果；其餘三欄是新主機（RTX 4070）訓練的模型，在新驗證集（150 張 / 740 框）上的結果，兩邊驗證集不完全相同，僅供參考。</t>
        </is>
      </c>
    </row>
    <row r="23" ht="42" customHeight="1">
      <c r="A23" s="9" t="inlineStr">
        <is>
          <t>「差距」欄橘色標示 ≥ 0.25：同一類別在三組實驗之間擺動很大，代表驗證集太小造成雜訊，單一類別的高低不宜當作模型好壞的證據。</t>
        </is>
      </c>
    </row>
    <row r="24" ht="42" customHeight="1">
      <c r="A24" s="9" t="inlineStr">
        <is>
          <t>「各類別平均」應與整體回報值非常接近（差在 0.001 內是四捨五入造成），若差距很大代表有類別漏填。</t>
        </is>
      </c>
    </row>
  </sheetData>
  <mergeCells count="4">
    <mergeCell ref="A22:J22"/>
    <mergeCell ref="A23:J23"/>
    <mergeCell ref="A24:J24"/>
    <mergeCell ref="A21:J21"/>
  </mergeCells>
  <conditionalFormatting sqref="B2:E1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16">
    <cfRule type="cellIs" priority="2" operator="greaterThanOrEqual" dxfId="0">
      <formula>0.25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2" customHeight="1">
      <c r="A1" s="1" t="inlineStr">
        <is>
          <t>類別</t>
        </is>
      </c>
      <c r="B1" s="1" t="inlineStr">
        <is>
          <t>v3（舊機器，舊驗證集）</t>
        </is>
      </c>
      <c r="C1" s="1" t="inlineStr">
        <is>
          <t>n 640</t>
        </is>
      </c>
      <c r="D1" s="1" t="inlineStr">
        <is>
          <t>s 640</t>
        </is>
      </c>
      <c r="E1" s="1" t="inlineStr">
        <is>
          <t>n 960</t>
        </is>
      </c>
      <c r="F1" s="1" t="inlineStr">
        <is>
          <t>新三組 最低</t>
        </is>
      </c>
      <c r="G1" s="1" t="inlineStr">
        <is>
          <t>新三組 最高</t>
        </is>
      </c>
      <c r="H1" s="1" t="inlineStr">
        <is>
          <t>新三組 差距（最高-最低）</t>
        </is>
      </c>
      <c r="I1" s="1" t="inlineStr">
        <is>
          <t>新三組 平均</t>
        </is>
      </c>
      <c r="J1" s="1" t="inlineStr">
        <is>
          <t>n 640 相對 v3 的變化</t>
        </is>
      </c>
    </row>
    <row r="2">
      <c r="A2" s="2" t="inlineStr">
        <is>
          <t>botanical_joints</t>
        </is>
      </c>
      <c r="B2" s="3" t="n">
        <v>0.719</v>
      </c>
      <c r="C2" s="3" t="n">
        <v>0.639</v>
      </c>
      <c r="D2" s="3" t="n">
        <v>0.5590000000000001</v>
      </c>
      <c r="E2" s="3" t="n">
        <v>0.664</v>
      </c>
      <c r="F2" s="4">
        <f>MIN(C2:E2)</f>
        <v/>
      </c>
      <c r="G2" s="4">
        <f>MAX(C2:E2)</f>
        <v/>
      </c>
      <c r="H2" s="4">
        <f>G2-F2</f>
        <v/>
      </c>
      <c r="I2" s="4">
        <f>AVERAGE(C2:E2)</f>
        <v/>
      </c>
      <c r="J2" s="15">
        <f>C2-B2</f>
        <v/>
      </c>
    </row>
    <row r="3">
      <c r="A3" s="2" t="inlineStr">
        <is>
          <t>cannabis_like_herbal</t>
        </is>
      </c>
      <c r="B3" s="3" t="n">
        <v>0.277</v>
      </c>
      <c r="C3" s="3" t="n">
        <v>0.364</v>
      </c>
      <c r="D3" s="3" t="n">
        <v>0.245</v>
      </c>
      <c r="E3" s="3" t="n">
        <v>0.261</v>
      </c>
      <c r="F3" s="4">
        <f>MIN(C3:E3)</f>
        <v/>
      </c>
      <c r="G3" s="4">
        <f>MAX(C3:E3)</f>
        <v/>
      </c>
      <c r="H3" s="4">
        <f>G3-F3</f>
        <v/>
      </c>
      <c r="I3" s="4">
        <f>AVERAGE(C3:E3)</f>
        <v/>
      </c>
      <c r="J3" s="15">
        <f>C3-B3</f>
        <v/>
      </c>
    </row>
    <row r="4">
      <c r="A4" s="2" t="inlineStr">
        <is>
          <t>cannabis_logo</t>
        </is>
      </c>
      <c r="B4" s="3" t="n">
        <v>0.672</v>
      </c>
      <c r="C4" s="3" t="n">
        <v>0.6870000000000001</v>
      </c>
      <c r="D4" s="3" t="n">
        <v>0.707</v>
      </c>
      <c r="E4" s="3" t="n">
        <v>0.758</v>
      </c>
      <c r="F4" s="4">
        <f>MIN(C4:E4)</f>
        <v/>
      </c>
      <c r="G4" s="4">
        <f>MAX(C4:E4)</f>
        <v/>
      </c>
      <c r="H4" s="4">
        <f>G4-F4</f>
        <v/>
      </c>
      <c r="I4" s="4">
        <f>AVERAGE(C4:E4)</f>
        <v/>
      </c>
      <c r="J4" s="15">
        <f>C4-B4</f>
        <v/>
      </c>
    </row>
    <row r="5">
      <c r="A5" s="2" t="inlineStr">
        <is>
          <t>digital_scale</t>
        </is>
      </c>
      <c r="B5" s="3" t="n">
        <v>0.589</v>
      </c>
      <c r="C5" s="3" t="n">
        <v>0.619</v>
      </c>
      <c r="D5" s="3" t="n">
        <v>0.704</v>
      </c>
      <c r="E5" s="3" t="n">
        <v>0.576</v>
      </c>
      <c r="F5" s="4">
        <f>MIN(C5:E5)</f>
        <v/>
      </c>
      <c r="G5" s="4">
        <f>MAX(C5:E5)</f>
        <v/>
      </c>
      <c r="H5" s="4">
        <f>G5-F5</f>
        <v/>
      </c>
      <c r="I5" s="4">
        <f>AVERAGE(C5:E5)</f>
        <v/>
      </c>
      <c r="J5" s="15">
        <f>C5-B5</f>
        <v/>
      </c>
    </row>
    <row r="6">
      <c r="A6" s="2" t="inlineStr">
        <is>
          <t>drug_edible</t>
        </is>
      </c>
      <c r="B6" s="3" t="n">
        <v>0.449</v>
      </c>
      <c r="C6" s="3" t="n">
        <v>0.253</v>
      </c>
      <c r="D6" s="3" t="n">
        <v>0.359</v>
      </c>
      <c r="E6" s="3" t="n">
        <v>0.58</v>
      </c>
      <c r="F6" s="4">
        <f>MIN(C6:E6)</f>
        <v/>
      </c>
      <c r="G6" s="4">
        <f>MAX(C6:E6)</f>
        <v/>
      </c>
      <c r="H6" s="4">
        <f>G6-F6</f>
        <v/>
      </c>
      <c r="I6" s="4">
        <f>AVERAGE(C6:E6)</f>
        <v/>
      </c>
      <c r="J6" s="15">
        <f>C6-B6</f>
        <v/>
      </c>
    </row>
    <row r="7">
      <c r="A7" s="2" t="inlineStr">
        <is>
          <t>illicit_packaging</t>
        </is>
      </c>
      <c r="B7" s="3" t="n">
        <v>0.712</v>
      </c>
      <c r="C7" s="3" t="n">
        <v>0.949</v>
      </c>
      <c r="D7" s="3" t="n">
        <v>0.981</v>
      </c>
      <c r="E7" s="3" t="n">
        <v>0.884</v>
      </c>
      <c r="F7" s="4">
        <f>MIN(C7:E7)</f>
        <v/>
      </c>
      <c r="G7" s="4">
        <f>MAX(C7:E7)</f>
        <v/>
      </c>
      <c r="H7" s="4">
        <f>G7-F7</f>
        <v/>
      </c>
      <c r="I7" s="4">
        <f>AVERAGE(C7:E7)</f>
        <v/>
      </c>
      <c r="J7" s="15">
        <f>C7-B7</f>
        <v/>
      </c>
    </row>
    <row r="8">
      <c r="A8" s="2" t="inlineStr">
        <is>
          <t>magic_mushroom</t>
        </is>
      </c>
      <c r="B8" s="3" t="n">
        <v>0.294</v>
      </c>
      <c r="C8" s="3" t="n">
        <v>0.248</v>
      </c>
      <c r="D8" s="3" t="n">
        <v>0.279</v>
      </c>
      <c r="E8" s="3" t="n">
        <v>0.244</v>
      </c>
      <c r="F8" s="4">
        <f>MIN(C8:E8)</f>
        <v/>
      </c>
      <c r="G8" s="4">
        <f>MAX(C8:E8)</f>
        <v/>
      </c>
      <c r="H8" s="4">
        <f>G8-F8</f>
        <v/>
      </c>
      <c r="I8" s="4">
        <f>AVERAGE(C8:E8)</f>
        <v/>
      </c>
      <c r="J8" s="15">
        <f>C8-B8</f>
        <v/>
      </c>
    </row>
    <row r="9">
      <c r="A9" s="2" t="inlineStr">
        <is>
          <t>pills_capsules</t>
        </is>
      </c>
      <c r="B9" s="3" t="n">
        <v>0.738</v>
      </c>
      <c r="C9" s="3" t="n">
        <v>0.755</v>
      </c>
      <c r="D9" s="3" t="n">
        <v>0.757</v>
      </c>
      <c r="E9" s="3" t="n">
        <v>0.764</v>
      </c>
      <c r="F9" s="4">
        <f>MIN(C9:E9)</f>
        <v/>
      </c>
      <c r="G9" s="4">
        <f>MAX(C9:E9)</f>
        <v/>
      </c>
      <c r="H9" s="4">
        <f>G9-F9</f>
        <v/>
      </c>
      <c r="I9" s="4">
        <f>AVERAGE(C9:E9)</f>
        <v/>
      </c>
      <c r="J9" s="15">
        <f>C9-B9</f>
        <v/>
      </c>
    </row>
    <row r="10">
      <c r="A10" s="2" t="inlineStr">
        <is>
          <t>pills_tablets</t>
        </is>
      </c>
      <c r="B10" s="3" t="n">
        <v>0.391</v>
      </c>
      <c r="C10" s="3" t="n">
        <v>0.588</v>
      </c>
      <c r="D10" s="3" t="n">
        <v>0.305</v>
      </c>
      <c r="E10" s="3" t="n">
        <v>0.285</v>
      </c>
      <c r="F10" s="4">
        <f>MIN(C10:E10)</f>
        <v/>
      </c>
      <c r="G10" s="4">
        <f>MAX(C10:E10)</f>
        <v/>
      </c>
      <c r="H10" s="4">
        <f>G10-F10</f>
        <v/>
      </c>
      <c r="I10" s="4">
        <f>AVERAGE(C10:E10)</f>
        <v/>
      </c>
      <c r="J10" s="15">
        <f>C10-B10</f>
        <v/>
      </c>
    </row>
    <row r="11">
      <c r="A11" s="2" t="inlineStr">
        <is>
          <t>substance_crystal</t>
        </is>
      </c>
      <c r="B11" s="3" t="n">
        <v>0.134</v>
      </c>
      <c r="C11" s="3" t="n">
        <v>0.538</v>
      </c>
      <c r="D11" s="3" t="n">
        <v>0.388</v>
      </c>
      <c r="E11" s="3" t="n">
        <v>0.5</v>
      </c>
      <c r="F11" s="4">
        <f>MIN(C11:E11)</f>
        <v/>
      </c>
      <c r="G11" s="4">
        <f>MAX(C11:E11)</f>
        <v/>
      </c>
      <c r="H11" s="4">
        <f>G11-F11</f>
        <v/>
      </c>
      <c r="I11" s="4">
        <f>AVERAGE(C11:E11)</f>
        <v/>
      </c>
      <c r="J11" s="15">
        <f>C11-B11</f>
        <v/>
      </c>
    </row>
    <row r="12">
      <c r="A12" s="2" t="inlineStr">
        <is>
          <t>substance_powder</t>
        </is>
      </c>
      <c r="B12" s="3" t="n">
        <v>0.38</v>
      </c>
      <c r="C12" s="3" t="n">
        <v>0.438</v>
      </c>
      <c r="D12" s="3" t="n">
        <v>0.526</v>
      </c>
      <c r="E12" s="3" t="n">
        <v>0.492</v>
      </c>
      <c r="F12" s="4">
        <f>MIN(C12:E12)</f>
        <v/>
      </c>
      <c r="G12" s="4">
        <f>MAX(C12:E12)</f>
        <v/>
      </c>
      <c r="H12" s="4">
        <f>G12-F12</f>
        <v/>
      </c>
      <c r="I12" s="4">
        <f>AVERAGE(C12:E12)</f>
        <v/>
      </c>
      <c r="J12" s="15">
        <f>C12-B12</f>
        <v/>
      </c>
    </row>
    <row r="13">
      <c r="A13" s="2" t="inlineStr">
        <is>
          <t>syringe</t>
        </is>
      </c>
      <c r="B13" s="3" t="n">
        <v>0.163</v>
      </c>
      <c r="C13" s="3" t="n">
        <v>0.218</v>
      </c>
      <c r="D13" s="3" t="n">
        <v>0.431</v>
      </c>
      <c r="E13" s="3" t="n">
        <v>0.257</v>
      </c>
      <c r="F13" s="4">
        <f>MIN(C13:E13)</f>
        <v/>
      </c>
      <c r="G13" s="4">
        <f>MAX(C13:E13)</f>
        <v/>
      </c>
      <c r="H13" s="4">
        <f>G13-F13</f>
        <v/>
      </c>
      <c r="I13" s="4">
        <f>AVERAGE(C13:E13)</f>
        <v/>
      </c>
      <c r="J13" s="15">
        <f>C13-B13</f>
        <v/>
      </c>
    </row>
    <row r="14">
      <c r="A14" s="2" t="inlineStr">
        <is>
          <t>vape_cartridge</t>
        </is>
      </c>
      <c r="B14" s="3" t="n">
        <v>0.171</v>
      </c>
      <c r="C14" s="3" t="n">
        <v>0.361</v>
      </c>
      <c r="D14" s="3" t="n">
        <v>0.261</v>
      </c>
      <c r="E14" s="3" t="n">
        <v>0.401</v>
      </c>
      <c r="F14" s="4">
        <f>MIN(C14:E14)</f>
        <v/>
      </c>
      <c r="G14" s="4">
        <f>MAX(C14:E14)</f>
        <v/>
      </c>
      <c r="H14" s="4">
        <f>G14-F14</f>
        <v/>
      </c>
      <c r="I14" s="4">
        <f>AVERAGE(C14:E14)</f>
        <v/>
      </c>
      <c r="J14" s="15">
        <f>C14-B14</f>
        <v/>
      </c>
    </row>
    <row r="15">
      <c r="A15" s="2" t="inlineStr">
        <is>
          <t>vape_device</t>
        </is>
      </c>
      <c r="B15" s="3" t="n">
        <v>0.334</v>
      </c>
      <c r="C15" s="3" t="n">
        <v>0.5</v>
      </c>
      <c r="D15" s="3" t="n">
        <v>0.645</v>
      </c>
      <c r="E15" s="3" t="n">
        <v>0.5</v>
      </c>
      <c r="F15" s="4">
        <f>MIN(C15:E15)</f>
        <v/>
      </c>
      <c r="G15" s="4">
        <f>MAX(C15:E15)</f>
        <v/>
      </c>
      <c r="H15" s="4">
        <f>G15-F15</f>
        <v/>
      </c>
      <c r="I15" s="4">
        <f>AVERAGE(C15:E15)</f>
        <v/>
      </c>
      <c r="J15" s="15">
        <f>C15-B15</f>
        <v/>
      </c>
    </row>
    <row r="16">
      <c r="A16" s="2" t="inlineStr">
        <is>
          <t>ziplock_bag</t>
        </is>
      </c>
      <c r="B16" s="3" t="n">
        <v>0.475</v>
      </c>
      <c r="C16" s="3" t="n">
        <v>0.708</v>
      </c>
      <c r="D16" s="3" t="n">
        <v>0.77</v>
      </c>
      <c r="E16" s="3" t="n">
        <v>0.6899999999999999</v>
      </c>
      <c r="F16" s="4">
        <f>MIN(C16:E16)</f>
        <v/>
      </c>
      <c r="G16" s="4">
        <f>MAX(C16:E16)</f>
        <v/>
      </c>
      <c r="H16" s="4">
        <f>G16-F16</f>
        <v/>
      </c>
      <c r="I16" s="4">
        <f>AVERAGE(C16:E16)</f>
        <v/>
      </c>
      <c r="J16" s="15">
        <f>C16-B16</f>
        <v/>
      </c>
    </row>
    <row r="17">
      <c r="A17" s="6" t="inlineStr">
        <is>
          <t>各類別平均</t>
        </is>
      </c>
      <c r="B17" s="7">
        <f>AVERAGE(B2:B16)</f>
        <v/>
      </c>
      <c r="C17" s="7">
        <f>AVERAGE(C2:C16)</f>
        <v/>
      </c>
      <c r="D17" s="7">
        <f>AVERAGE(D2:D16)</f>
        <v/>
      </c>
      <c r="E17" s="7">
        <f>AVERAGE(E2:E16)</f>
        <v/>
      </c>
    </row>
    <row r="18">
      <c r="A18" s="6" t="inlineStr">
        <is>
          <t>整體 AP50-95（回報值）</t>
        </is>
      </c>
      <c r="B18" s="8">
        <f>'整體指標'!B12</f>
        <v/>
      </c>
      <c r="C18" s="8">
        <f>'整體指標'!C12</f>
        <v/>
      </c>
      <c r="D18" s="8">
        <f>'整體指標'!D12</f>
        <v/>
      </c>
      <c r="E18" s="8">
        <f>'整體指標'!E12</f>
        <v/>
      </c>
    </row>
    <row r="19">
      <c r="A19" s="6" t="inlineStr">
        <is>
          <t>平均與回報值的差（核對用）</t>
        </is>
      </c>
      <c r="B19" s="15">
        <f>B17-B18</f>
        <v/>
      </c>
      <c r="C19" s="15">
        <f>C17-C18</f>
        <v/>
      </c>
      <c r="D19" s="15">
        <f>D17-D18</f>
        <v/>
      </c>
      <c r="E19" s="15">
        <f>E17-E18</f>
        <v/>
      </c>
    </row>
    <row r="21" ht="42" customHeight="1">
      <c r="A21" s="9" t="inlineStr">
        <is>
          <t>數字來源：各模型 best.pt 在驗證集上重新驗證得到的 per-class AP50-95。藍字為輸入數據，黑字為公式，綠字為連到「整體指標」工作表。</t>
        </is>
      </c>
    </row>
    <row r="22" ht="42" customHeight="1">
      <c r="A22" s="9" t="inlineStr">
        <is>
          <t>v3 欄是舊機器（RTX 3050）訓練的模型，在舊驗證集（152 張 / 834 框）上的結果；其餘三欄是新主機（RTX 4070）訓練的模型，在新驗證集（150 張 / 740 框）上的結果，兩邊驗證集不完全相同，僅供參考。</t>
        </is>
      </c>
    </row>
    <row r="23" ht="42" customHeight="1">
      <c r="A23" s="9" t="inlineStr">
        <is>
          <t>「差距」欄橘色標示 ≥ 0.25：同一類別在三組實驗之間擺動很大，代表驗證集太小造成雜訊，單一類別的高低不宜當作模型好壞的證據。</t>
        </is>
      </c>
    </row>
    <row r="24" ht="42" customHeight="1">
      <c r="A24" s="9" t="inlineStr">
        <is>
          <t>「各類別平均」應與整體回報值非常接近（差在 0.001 內是四捨五入造成），若差距很大代表有類別漏填。</t>
        </is>
      </c>
    </row>
  </sheetData>
  <mergeCells count="4">
    <mergeCell ref="A22:J22"/>
    <mergeCell ref="A23:J23"/>
    <mergeCell ref="A24:J24"/>
    <mergeCell ref="A21:J21"/>
  </mergeCells>
  <conditionalFormatting sqref="B2:E1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16">
    <cfRule type="cellIs" priority="2" operator="greaterThanOrEqual" dxfId="0">
      <formula>0.25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項目</t>
        </is>
      </c>
      <c r="B1" s="1" t="inlineStr">
        <is>
          <t>v3（舊機器）</t>
        </is>
      </c>
      <c r="C1" s="1" t="inlineStr">
        <is>
          <t>exp_n_640</t>
        </is>
      </c>
      <c r="D1" s="1" t="inlineStr">
        <is>
          <t>exp_s_640</t>
        </is>
      </c>
      <c r="E1" s="1" t="inlineStr">
        <is>
          <t>exp_n_960</t>
        </is>
      </c>
    </row>
    <row r="2">
      <c r="A2" s="6" t="inlineStr">
        <is>
          <t>基礎模型</t>
        </is>
      </c>
      <c r="B2" s="10" t="inlineStr">
        <is>
          <t>yolo11n</t>
        </is>
      </c>
      <c r="C2" s="10" t="inlineStr">
        <is>
          <t>yolo11n</t>
        </is>
      </c>
      <c r="D2" s="10" t="inlineStr">
        <is>
          <t>yolo11s</t>
        </is>
      </c>
      <c r="E2" s="10" t="inlineStr">
        <is>
          <t>yolo11n</t>
        </is>
      </c>
    </row>
    <row r="3">
      <c r="A3" s="6" t="inlineStr">
        <is>
          <t>imgsz</t>
        </is>
      </c>
      <c r="B3" s="10" t="n">
        <v>640</v>
      </c>
      <c r="C3" s="10" t="n">
        <v>640</v>
      </c>
      <c r="D3" s="10" t="n">
        <v>640</v>
      </c>
      <c r="E3" s="10" t="n">
        <v>960</v>
      </c>
    </row>
    <row r="4">
      <c r="A4" s="6" t="inlineStr">
        <is>
          <t>batch（實際）</t>
        </is>
      </c>
      <c r="B4" s="10" t="n">
        <v>2</v>
      </c>
      <c r="C4" s="10" t="n">
        <v>12</v>
      </c>
      <c r="D4" s="10" t="n">
        <v>16</v>
      </c>
      <c r="E4" s="10" t="n">
        <v>16</v>
      </c>
    </row>
    <row r="5">
      <c r="A5" s="6" t="inlineStr">
        <is>
          <t>batch 來源</t>
        </is>
      </c>
      <c r="B5" s="10" t="inlineStr">
        <is>
          <t>AutoBatch 0.3</t>
        </is>
      </c>
      <c r="C5" s="10" t="inlineStr">
        <is>
          <t>AutoBatch 0.3</t>
        </is>
      </c>
      <c r="D5" s="10" t="inlineStr">
        <is>
          <t>指定</t>
        </is>
      </c>
      <c r="E5" s="10" t="inlineStr">
        <is>
          <t>指定</t>
        </is>
      </c>
    </row>
    <row r="6">
      <c r="A6" s="6" t="inlineStr">
        <is>
          <t>訓練 GPU</t>
        </is>
      </c>
      <c r="B6" s="10" t="inlineStr">
        <is>
          <t>RTX 3050 4GB</t>
        </is>
      </c>
      <c r="C6" s="10" t="inlineStr">
        <is>
          <t>RTX 4070 12GB</t>
        </is>
      </c>
      <c r="D6" s="10" t="inlineStr">
        <is>
          <t>RTX 4070 12GB</t>
        </is>
      </c>
      <c r="E6" s="10" t="inlineStr">
        <is>
          <t>RTX 4070 12GB</t>
        </is>
      </c>
    </row>
    <row r="7">
      <c r="A7" s="6" t="inlineStr">
        <is>
          <t>驗證集影像數</t>
        </is>
      </c>
      <c r="B7" s="10" t="n">
        <v>152</v>
      </c>
      <c r="C7" s="10" t="n">
        <v>150</v>
      </c>
      <c r="D7" s="10" t="n">
        <v>150</v>
      </c>
      <c r="E7" s="10" t="n">
        <v>150</v>
      </c>
    </row>
    <row r="8">
      <c r="A8" s="6" t="inlineStr">
        <is>
          <t>驗證集標註框數</t>
        </is>
      </c>
      <c r="B8" s="10" t="n">
        <v>834</v>
      </c>
      <c r="C8" s="10" t="n">
        <v>740</v>
      </c>
      <c r="D8" s="10" t="n">
        <v>740</v>
      </c>
      <c r="E8" s="10" t="n">
        <v>740</v>
      </c>
    </row>
    <row r="9">
      <c r="A9" s="6" t="inlineStr">
        <is>
          <t>Precision</t>
        </is>
      </c>
      <c r="B9" s="3" t="n">
        <v>0.6820000000000001</v>
      </c>
      <c r="C9" s="3" t="n">
        <v>0.711</v>
      </c>
      <c r="D9" s="3" t="n">
        <v>0.6850000000000001</v>
      </c>
      <c r="E9" s="3" t="n">
        <v>0.704</v>
      </c>
    </row>
    <row r="10">
      <c r="A10" s="6" t="inlineStr">
        <is>
          <t>Recall</t>
        </is>
      </c>
      <c r="B10" s="3" t="n">
        <v>0.573</v>
      </c>
      <c r="C10" s="3" t="n">
        <v>0.644</v>
      </c>
      <c r="D10" s="3" t="n">
        <v>0.668</v>
      </c>
      <c r="E10" s="3" t="n">
        <v>0.674</v>
      </c>
    </row>
    <row r="11">
      <c r="A11" s="6" t="inlineStr">
        <is>
          <t>mAP50</t>
        </is>
      </c>
      <c r="B11" s="16" t="n">
        <v>0.6008</v>
      </c>
      <c r="C11" s="16" t="n">
        <v>0.716</v>
      </c>
      <c r="D11" s="16" t="n">
        <v>0.6848</v>
      </c>
      <c r="E11" s="16" t="n">
        <v>0.7155</v>
      </c>
    </row>
    <row r="12">
      <c r="A12" s="6" t="inlineStr">
        <is>
          <t>mAP50-95</t>
        </is>
      </c>
      <c r="B12" s="16" t="n">
        <v>0.4332</v>
      </c>
      <c r="C12" s="16" t="n">
        <v>0.5245</v>
      </c>
      <c r="D12" s="16" t="n">
        <v>0.5278</v>
      </c>
      <c r="E12" s="16" t="n">
        <v>0.5238</v>
      </c>
    </row>
    <row r="14">
      <c r="A14" s="12" t="inlineStr">
        <is>
          <t>備註</t>
        </is>
      </c>
    </row>
    <row r="15" ht="32" customHeight="1">
      <c r="A15" s="9" t="inlineStr">
        <is>
          <t>整體數字（Precision、Recall、mAP）是各 best.pt 在新驗證集上重新驗證的結果，與訓練時主控台回報的數字差距在 0.001 內。</t>
        </is>
      </c>
    </row>
    <row r="16" ht="32" customHeight="1">
      <c r="A16" s="9" t="inlineStr">
        <is>
          <t>batch 取自 best.pt 內存的 train_args（args.yaml 只記錄傳入值 0.3，不是實際值）。</t>
        </is>
      </c>
    </row>
    <row r="17" ht="32" customHeight="1">
      <c r="A17" s="9" t="inlineStr">
        <is>
          <t>v3 的 Precision / Recall / mAP 是在本機用 v3 的 best.pt 對舊驗證集（152 張 / 834 框）重新驗證得到。</t>
        </is>
      </c>
    </row>
  </sheetData>
  <mergeCells count="3">
    <mergeCell ref="A16:E16"/>
    <mergeCell ref="A15:E1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3" t="inlineStr">
        <is>
          <t>YOLO 各類別成績整理</t>
        </is>
      </c>
    </row>
    <row r="2" ht="22" customHeight="1">
      <c r="A2" s="14" t="inlineStr">
        <is>
          <t>資料與實驗</t>
        </is>
      </c>
    </row>
    <row r="3" ht="34" customHeight="1">
      <c r="A3" s="9" t="inlineStr">
        <is>
          <t>• 15 類偵測（YOLO11），驗證指標：AP50（IoU 0.5 的平均精確率）與 AP50-95（IoU 0.5 到 0.95 的平均）。</t>
        </is>
      </c>
    </row>
    <row r="4" ht="34" customHeight="1">
      <c r="A4" s="9" t="inlineStr">
        <is>
          <t>• 對照組：n 640（yolo11n，640）、s 640（yolo11s，640）、n 960（yolo11n，960）；v3 為舊機器的最後一版。</t>
        </is>
      </c>
    </row>
    <row r="5" ht="34" customHeight="1">
      <c r="A5" s="9" t="inlineStr">
        <is>
          <t>• 三組新實驗使用同一份資料與驗證集（150 張 / 740 框），v3 使用舊驗證集（152 張 / 834 框），兩者不完全相同，原因待查。</t>
        </is>
      </c>
    </row>
    <row r="6" ht="22" customHeight="1">
      <c r="A6" s="14" t="inlineStr">
        <is>
          <t>閱讀重點</t>
        </is>
      </c>
    </row>
    <row r="7" ht="34" customHeight="1">
      <c r="A7" s="9" t="inlineStr">
        <is>
          <t>• 結晶（substance_crystal）與針筒（syringe）相比 v3 明顯進步；香菇（magic_mushroom）沒有進步，仍是最弱的類別之一。</t>
        </is>
      </c>
    </row>
    <row r="8" ht="34" customHeight="1">
      <c r="A8" s="9" t="inlineStr">
        <is>
          <t>• 同一類別在 n 640、s 640、n 960 之間擺動很大（例如 drug_edible、pills_tablets），驗證集太小，單一類別的差距不能當作證據。</t>
        </is>
      </c>
    </row>
    <row r="9" ht="34" customHeight="1">
      <c r="A9" s="9" t="inlineStr">
        <is>
          <t>• 進步有一部分可能來自 batch 變大（2 到 12 / 16），這是推論，尚未用 --batch 2 重跑驗證。</t>
        </is>
      </c>
    </row>
    <row r="10" ht="22" customHeight="1">
      <c r="A10" s="14" t="inlineStr">
        <is>
          <t>配色</t>
        </is>
      </c>
    </row>
    <row r="11" ht="34" customHeight="1">
      <c r="A11" s="9" t="inlineStr">
        <is>
          <t>• 藍字：輸入數據；黑字：公式；綠字：連結到其他工作表。</t>
        </is>
      </c>
    </row>
    <row r="12" ht="34" customHeight="1">
      <c r="A12" s="9" t="inlineStr">
        <is>
          <t>• AP 欄位以紅黃綠色階標示：0 為紅、0.5 為黃、1 為綠。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2026-10-20T11:29:10Z</dcterms:created>
  <dcterms:modified xsi:type="dcterms:W3CDTF">2026-10-20T11:29:38Z</dcterms:modified>
</cp:coreProperties>
</file>